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OM" sheetId="1" state="visible" r:id="rId1"/>
    <sheet name="Actuator_Sensor_Specs" sheetId="2" state="visible" r:id="rId2"/>
  </sheets>
  <definedNames>
    <definedName name="_xlnm._FilterDatabase" localSheetId="0" hidden="1">'BOM'!$A$5:$M$24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top"/>
    </xf>
    <xf numFmtId="0" fontId="9" fillId="0" borderId="0" pivotButton="0" quotePrefix="0" xfId="0"/>
    <xf numFmtId="3" fontId="7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/>
    </xf>
    <xf numFmtId="3" fontId="10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3" min="1" max="1"/>
    <col width="14" customWidth="1" style="13" min="2" max="2"/>
    <col width="30" customWidth="1" style="13" min="3" max="3"/>
    <col width="40" customWidth="1" style="13" min="4" max="4"/>
    <col width="10" customWidth="1" style="13" min="5" max="5"/>
    <col width="12" customWidth="1" style="13" min="6" max="6"/>
    <col width="20" customWidth="1" style="13" min="7" max="7"/>
    <col width="46" customWidth="1" style="13" min="8" max="8"/>
    <col width="26" customWidth="1" style="13" min="9" max="9"/>
    <col width="52" customWidth="1" style="13" min="10" max="10"/>
    <col width="13" customWidth="1" style="14" min="11" max="11"/>
    <col width="11" customWidth="1" style="14" min="12" max="12"/>
    <col width="52" customWidth="1" style="14" min="13" max="13"/>
  </cols>
  <sheetData>
    <row r="1" ht="17.35" customHeight="1" s="14">
      <c r="A1" s="15" t="inlineStr">
        <is>
          <t>ROSOTA Leader Gripper — Bill of Materials</t>
        </is>
      </c>
    </row>
    <row r="2" ht="15" customHeight="1" s="14">
      <c r="A2" s="16" t="inlineStr">
        <is>
          <t>Quantities are per hand (one gripper). A full master console uses one right-hand and one left-hand unit, so the console column is 2x the per-hand quantity — except Structure rows, which are one per console.</t>
        </is>
      </c>
    </row>
    <row r="3" ht="15" customHeight="1" s="14">
      <c r="A3" s="16" t="inlineStr">
        <is>
          <t>Legend:  'Part file' stems match the CAD/ and STL/ file names.  Blue rows are reference hardware, not part of this release.</t>
        </is>
      </c>
    </row>
    <row r="5" ht="30" customHeight="1" s="14">
      <c r="A5" s="17" t="inlineStr">
        <is>
          <t>No.</t>
        </is>
      </c>
      <c r="B5" s="17" t="inlineStr">
        <is>
          <t>Category</t>
        </is>
      </c>
      <c r="C5" s="17" t="inlineStr">
        <is>
          <t>Item</t>
        </is>
      </c>
      <c r="D5" s="17" t="inlineStr">
        <is>
          <t>Part file</t>
        </is>
      </c>
      <c r="E5" s="17" t="inlineStr">
        <is>
          <t>Qty / hand</t>
        </is>
      </c>
      <c r="F5" s="17" t="inlineStr">
        <is>
          <t>Qty / console</t>
        </is>
      </c>
      <c r="G5" s="17" t="inlineStr">
        <is>
          <t>Material or vendor</t>
        </is>
      </c>
      <c r="H5" s="17" t="inlineStr">
        <is>
          <t>Specification</t>
        </is>
      </c>
      <c r="I5" s="17" t="inlineStr">
        <is>
          <t>Source of value</t>
        </is>
      </c>
      <c r="J5" s="17" t="inlineStr">
        <is>
          <t>Notes</t>
        </is>
      </c>
      <c r="K5" s="17" t="inlineStr">
        <is>
          <t>Filament / hand (g, est.)</t>
        </is>
      </c>
      <c r="L5" s="17" t="inlineStr">
        <is>
          <t>Unit cost (USD)</t>
        </is>
      </c>
      <c r="M5" s="17" t="inlineStr">
        <is>
          <t>Cost group and source</t>
        </is>
      </c>
    </row>
    <row r="6" ht="23.85" customHeight="1" s="14">
      <c r="A6" s="18" t="n">
        <v>1</v>
      </c>
      <c r="B6" s="19" t="inlineStr">
        <is>
          <t>Printed part</t>
        </is>
      </c>
      <c r="C6" s="19" t="inlineStr">
        <is>
          <t>Flange — PiPER link6 mount</t>
        </is>
      </c>
      <c r="D6" s="19" t="inlineStr">
        <is>
          <t>STL/printable_right/flange_piper_mount.stl</t>
        </is>
      </c>
      <c r="E6" s="18" t="n">
        <v>1</v>
      </c>
      <c r="F6" s="18">
        <f>E6*2</f>
        <v/>
      </c>
      <c r="G6" s="19" t="inlineStr">
        <is>
          <t>PLA (Bambu PLA Basic)</t>
        </is>
      </c>
      <c r="H6" s="19" t="inlineStr">
        <is>
          <t>122.4 x 50.0 x 125.0 mm bbox; solid 154.46 cm3</t>
        </is>
      </c>
      <c r="I6" s="19" t="inlineStr">
        <is>
          <t>measured from mesh</t>
        </is>
      </c>
      <c r="J6" s="19" t="inlineStr">
        <is>
          <t>Fixed joint link6_to_link_1dof; seats flat or wrist readings pick up a constant offset</t>
        </is>
      </c>
      <c r="K6" s="19" t="n">
        <v>78.3</v>
      </c>
      <c r="L6" s="19" t="n"/>
      <c r="M6" s="19" t="inlineStr">
        <is>
          <t>Printed distal parts / fasteners, per console = ~60 (paper Table II)</t>
        </is>
      </c>
    </row>
    <row r="7" ht="23.85" customHeight="1" s="14">
      <c r="A7" s="18" t="n">
        <v>2</v>
      </c>
      <c r="B7" s="19" t="inlineStr">
        <is>
          <t>Printed part</t>
        </is>
      </c>
      <c r="C7" s="19" t="inlineStr">
        <is>
          <t>Wrist axis-1 yoke</t>
        </is>
      </c>
      <c r="D7" s="19" t="inlineStr">
        <is>
          <t>STL/printable_right/wrist_axis1_yoke.stl</t>
        </is>
      </c>
      <c r="E7" s="18" t="n">
        <v>1</v>
      </c>
      <c r="F7" s="18">
        <f>E7*2</f>
        <v/>
      </c>
      <c r="G7" s="19" t="inlineStr">
        <is>
          <t>PLA (Bambu PLA Basic)</t>
        </is>
      </c>
      <c r="H7" s="19" t="inlineStr">
        <is>
          <t>mass 80.84 g</t>
        </is>
      </c>
      <c r="I7" s="19" t="inlineStr">
        <is>
          <t>URDF inertial (scaled to measured)</t>
        </is>
      </c>
      <c r="J7" s="19" t="inlineStr">
        <is>
          <t>Carries the bases of both wrist servos (two 20 x 20 mm hole patterns in the CAD)</t>
        </is>
      </c>
      <c r="K7" s="19" t="n">
        <v>81.59999999999999</v>
      </c>
      <c r="L7" s="19" t="n"/>
      <c r="M7" s="19" t="inlineStr">
        <is>
          <t>Printed distal parts / fasteners, per console = ~60 (paper Table II)</t>
        </is>
      </c>
    </row>
    <row r="8" ht="23.85" customHeight="1" s="14">
      <c r="A8" s="18" t="n">
        <v>3</v>
      </c>
      <c r="B8" s="19" t="inlineStr">
        <is>
          <t>Printed part</t>
        </is>
      </c>
      <c r="C8" s="19" t="inlineStr">
        <is>
          <t>Wrist axis-2 handle</t>
        </is>
      </c>
      <c r="D8" s="19" t="inlineStr">
        <is>
          <t>STL/printable_right/wrist_axis2_handle.stl</t>
        </is>
      </c>
      <c r="E8" s="18" t="n">
        <v>1</v>
      </c>
      <c r="F8" s="18">
        <f>E8*2</f>
        <v/>
      </c>
      <c r="G8" s="19" t="inlineStr">
        <is>
          <t>PLA (Bambu PLA Basic)</t>
        </is>
      </c>
      <c r="H8" s="19" t="inlineStr">
        <is>
          <t>mass 56.13 g</t>
        </is>
      </c>
      <c r="I8" s="19" t="inlineStr">
        <is>
          <t>URDF inertial (scaled to measured)</t>
        </is>
      </c>
      <c r="J8" s="19" t="inlineStr">
        <is>
          <t>Operator grip body</t>
        </is>
      </c>
      <c r="K8" s="19" t="n">
        <v>58.9</v>
      </c>
      <c r="L8" s="19" t="n"/>
      <c r="M8" s="19" t="inlineStr">
        <is>
          <t>Printed distal parts / fasteners, per console = ~60 (paper Table II)</t>
        </is>
      </c>
    </row>
    <row r="9" ht="15" customHeight="1" s="14">
      <c r="A9" s="18" t="n">
        <v>4</v>
      </c>
      <c r="B9" s="19" t="inlineStr">
        <is>
          <t>Printed part</t>
        </is>
      </c>
      <c r="C9" s="19" t="inlineStr">
        <is>
          <t>Grasp lever 1</t>
        </is>
      </c>
      <c r="D9" s="19" t="inlineStr">
        <is>
          <t>STL/printable_right/grasp_lever_1.stl</t>
        </is>
      </c>
      <c r="E9" s="18" t="n">
        <v>1</v>
      </c>
      <c r="F9" s="18">
        <f>E9*2</f>
        <v/>
      </c>
      <c r="G9" s="19" t="inlineStr">
        <is>
          <t>PLA (Bambu PLA Basic)</t>
        </is>
      </c>
      <c r="H9" s="19" t="inlineStr">
        <is>
          <t>20.5 x 62.3 x 32.0 mm bbox; solid 6.02 cm3</t>
        </is>
      </c>
      <c r="I9" s="19" t="inlineStr">
        <is>
          <t>measured from mesh</t>
        </is>
      </c>
      <c r="J9" s="19" t="inlineStr">
        <is>
          <t>Geared to lever 2; moves symmetrically</t>
        </is>
      </c>
      <c r="K9" s="19" t="n">
        <v>7.1</v>
      </c>
      <c r="L9" s="19" t="n"/>
      <c r="M9" s="19" t="inlineStr">
        <is>
          <t>Printed distal parts / fasteners, per console = ~60 (paper Table II)</t>
        </is>
      </c>
    </row>
    <row r="10" ht="15" customHeight="1" s="14">
      <c r="A10" s="18" t="n">
        <v>5</v>
      </c>
      <c r="B10" s="19" t="inlineStr">
        <is>
          <t>Printed part</t>
        </is>
      </c>
      <c r="C10" s="19" t="inlineStr">
        <is>
          <t>Grasp lever 2</t>
        </is>
      </c>
      <c r="D10" s="19" t="inlineStr">
        <is>
          <t>STL/printable_right/grasp_lever_2.stl</t>
        </is>
      </c>
      <c r="E10" s="18" t="n">
        <v>1</v>
      </c>
      <c r="F10" s="18">
        <f>E10*2</f>
        <v/>
      </c>
      <c r="G10" s="19" t="inlineStr">
        <is>
          <t>PLA (Bambu PLA Basic)</t>
        </is>
      </c>
      <c r="H10" s="19" t="inlineStr">
        <is>
          <t>20.5 x 62.7 x 32.0 mm bbox; solid 6.02 cm3</t>
        </is>
      </c>
      <c r="I10" s="19" t="inlineStr">
        <is>
          <t>measured from mesh</t>
        </is>
      </c>
      <c r="J10" s="19" t="inlineStr">
        <is>
          <t>Geared to lever 1</t>
        </is>
      </c>
      <c r="K10" s="19" t="n">
        <v>7.4</v>
      </c>
      <c r="L10" s="19" t="n"/>
      <c r="M10" s="19" t="inlineStr">
        <is>
          <t>Printed distal parts / fasteners, per console = ~60 (paper Table II)</t>
        </is>
      </c>
    </row>
    <row r="11" ht="15" customHeight="1" s="14">
      <c r="A11" s="18" t="n">
        <v>6</v>
      </c>
      <c r="B11" s="19" t="inlineStr">
        <is>
          <t>Printed part</t>
        </is>
      </c>
      <c r="C11" s="19" t="inlineStr">
        <is>
          <t>Grasp mount plate</t>
        </is>
      </c>
      <c r="D11" s="19" t="inlineStr">
        <is>
          <t>STL/printable_right/grasp_mount_plate.stl</t>
        </is>
      </c>
      <c r="E11" s="18" t="n">
        <v>1</v>
      </c>
      <c r="F11" s="18">
        <f>E11*2</f>
        <v/>
      </c>
      <c r="G11" s="19" t="inlineStr">
        <is>
          <t>PLA (Bambu PLA Basic)</t>
        </is>
      </c>
      <c r="H11" s="19" t="inlineStr">
        <is>
          <t>24.0 x 42.5 x 5.0 mm bbox; solid 1.77 cm3</t>
        </is>
      </c>
      <c r="I11" s="19" t="inlineStr">
        <is>
          <t>measured from mesh</t>
        </is>
      </c>
      <c r="J11" s="19" t="n"/>
      <c r="K11" s="19" t="n">
        <v>3.2</v>
      </c>
      <c r="L11" s="19" t="n"/>
      <c r="M11" s="19" t="inlineStr">
        <is>
          <t>Printed distal parts / fasteners, per console = ~60 (paper Table II)</t>
        </is>
      </c>
    </row>
    <row r="12" ht="15" customHeight="1" s="14">
      <c r="A12" s="18" t="n">
        <v>7</v>
      </c>
      <c r="B12" s="19" t="inlineStr">
        <is>
          <t>Printed part</t>
        </is>
      </c>
      <c r="C12" s="19" t="inlineStr">
        <is>
          <t>Grasp pin 1</t>
        </is>
      </c>
      <c r="D12" s="19" t="inlineStr">
        <is>
          <t>STL/printable_right/grasp_pin_1.stl</t>
        </is>
      </c>
      <c r="E12" s="18" t="n">
        <v>1</v>
      </c>
      <c r="F12" s="18">
        <f>E12*2</f>
        <v/>
      </c>
      <c r="G12" s="19" t="inlineStr">
        <is>
          <t>PLA (Bambu PLA Basic)</t>
        </is>
      </c>
      <c r="H12" s="19" t="inlineStr">
        <is>
          <t>pin, 2 mm dia x 10.5 mm</t>
        </is>
      </c>
      <c r="I12" s="19" t="inlineStr">
        <is>
          <t>measured from mesh</t>
        </is>
      </c>
      <c r="J12" s="19" t="inlineStr">
        <is>
          <t>Lever pivot</t>
        </is>
      </c>
      <c r="K12" s="19" t="n">
        <v>0.1</v>
      </c>
      <c r="L12" s="19" t="n"/>
      <c r="M12" s="19" t="inlineStr">
        <is>
          <t>Printed distal parts / fasteners, per console = ~60 (paper Table II)</t>
        </is>
      </c>
    </row>
    <row r="13" ht="15" customHeight="1" s="14">
      <c r="A13" s="18" t="n">
        <v>8</v>
      </c>
      <c r="B13" s="19" t="inlineStr">
        <is>
          <t>Printed part</t>
        </is>
      </c>
      <c r="C13" s="19" t="inlineStr">
        <is>
          <t>Grasp pin 2</t>
        </is>
      </c>
      <c r="D13" s="19" t="inlineStr">
        <is>
          <t>STL/printable_right/grasp_pin_2.stl</t>
        </is>
      </c>
      <c r="E13" s="18" t="n">
        <v>1</v>
      </c>
      <c r="F13" s="18">
        <f>E13*2</f>
        <v/>
      </c>
      <c r="G13" s="19" t="inlineStr">
        <is>
          <t>PLA (Bambu PLA Basic)</t>
        </is>
      </c>
      <c r="H13" s="19" t="inlineStr">
        <is>
          <t>pin, 2 mm dia x 10.5 mm</t>
        </is>
      </c>
      <c r="I13" s="19" t="inlineStr">
        <is>
          <t>measured from mesh</t>
        </is>
      </c>
      <c r="J13" s="19" t="inlineStr">
        <is>
          <t>Lever pivot</t>
        </is>
      </c>
      <c r="K13" s="19" t="n">
        <v>0.1</v>
      </c>
      <c r="L13" s="19" t="n"/>
      <c r="M13" s="19" t="inlineStr">
        <is>
          <t>Printed distal parts / fasteners, per console = ~60 (paper Table II)</t>
        </is>
      </c>
    </row>
    <row r="14" ht="15" customHeight="1" s="14">
      <c r="A14" s="18" t="n">
        <v>9</v>
      </c>
      <c r="B14" s="19" t="inlineStr">
        <is>
          <t>Printed part</t>
        </is>
      </c>
      <c r="C14" s="19" t="inlineStr">
        <is>
          <t>Grasp cover</t>
        </is>
      </c>
      <c r="D14" s="19" t="inlineStr">
        <is>
          <t>STL/printable_right/grasp_cover.stl</t>
        </is>
      </c>
      <c r="E14" s="18" t="n">
        <v>1</v>
      </c>
      <c r="F14" s="18">
        <f>E14*2</f>
        <v/>
      </c>
      <c r="G14" s="19" t="inlineStr">
        <is>
          <t>PLA (Bambu PLA Basic)</t>
        </is>
      </c>
      <c r="H14" s="19" t="inlineStr">
        <is>
          <t>63.7 x 45.6 x 21.0 mm bbox; solid 12.20 cm3</t>
        </is>
      </c>
      <c r="I14" s="19" t="inlineStr">
        <is>
          <t>measured from mesh</t>
        </is>
      </c>
      <c r="J14" s="19" t="n"/>
      <c r="K14" s="19" t="n">
        <v>18.1</v>
      </c>
      <c r="L14" s="19" t="n"/>
      <c r="M14" s="19" t="inlineStr">
        <is>
          <t>Printed distal parts / fasteners, per console = ~60 (paper Table II)</t>
        </is>
      </c>
    </row>
    <row r="15" ht="15" customHeight="1" s="14">
      <c r="A15" s="18" t="n">
        <v>10</v>
      </c>
      <c r="B15" s="19" t="inlineStr">
        <is>
          <t>Printed part</t>
        </is>
      </c>
      <c r="C15" s="19" t="inlineStr">
        <is>
          <t>MCU base</t>
        </is>
      </c>
      <c r="D15" s="19" t="inlineStr">
        <is>
          <t>STL/printable_right/mcu_base.stl</t>
        </is>
      </c>
      <c r="E15" s="18" t="n">
        <v>1</v>
      </c>
      <c r="F15" s="18">
        <f>E15*2</f>
        <v/>
      </c>
      <c r="G15" s="19" t="inlineStr">
        <is>
          <t>PLA (Bambu PLA Basic)</t>
        </is>
      </c>
      <c r="H15" s="19" t="inlineStr">
        <is>
          <t>30.0 x 23.0 x 3.0 mm bbox; solid 1.46 cm3</t>
        </is>
      </c>
      <c r="I15" s="19" t="inlineStr">
        <is>
          <t>measured from mesh</t>
        </is>
      </c>
      <c r="J15" s="19" t="inlineStr">
        <is>
          <t>Carries the XIAO board</t>
        </is>
      </c>
      <c r="K15" s="19" t="n">
        <v>2.6</v>
      </c>
      <c r="L15" s="19" t="n"/>
      <c r="M15" s="19" t="inlineStr">
        <is>
          <t>Printed distal parts / fasteners, per console = ~60 (paper Table II)</t>
        </is>
      </c>
    </row>
    <row r="16" ht="46.25" customHeight="1" s="14">
      <c r="A16" s="18" t="n">
        <v>11</v>
      </c>
      <c r="B16" s="19" t="inlineStr">
        <is>
          <t>Printed part</t>
        </is>
      </c>
      <c r="C16" s="19" t="inlineStr">
        <is>
          <t>Grasp sensor base</t>
        </is>
      </c>
      <c r="D16" s="19" t="inlineStr">
        <is>
          <t>STL/printable_right/grasp_sensor_base.stl</t>
        </is>
      </c>
      <c r="E16" s="18" t="n">
        <v>1</v>
      </c>
      <c r="F16" s="18">
        <f>E16*2</f>
        <v/>
      </c>
      <c r="G16" s="19" t="inlineStr">
        <is>
          <t>PLA (Bambu PLA Basic)</t>
        </is>
      </c>
      <c r="H16" s="19" t="inlineStr">
        <is>
          <t>30 x 50 x 9.5 mm plate</t>
        </is>
      </c>
      <c r="I16" s="19" t="inlineStr">
        <is>
          <t>measured from mesh</t>
        </is>
      </c>
      <c r="J16" s="19" t="inlineStr">
        <is>
          <t>Grasp levers pivot in the centre holes; the sensor mounts on top. Released as STL only</t>
        </is>
      </c>
      <c r="K16" s="19" t="n">
        <v>5.6</v>
      </c>
      <c r="L16" s="19" t="n"/>
      <c r="M16" s="19" t="inlineStr">
        <is>
          <t>Printed distal parts / fasteners, per console = ~60 (paper Table II)</t>
        </is>
      </c>
    </row>
    <row r="17" ht="23.85" customHeight="1" s="14">
      <c r="A17" s="18" t="n">
        <v>12</v>
      </c>
      <c r="B17" s="19" t="inlineStr">
        <is>
          <t>Structure</t>
        </is>
      </c>
      <c r="C17" s="19" t="inlineStr">
        <is>
          <t>Console frame</t>
        </is>
      </c>
      <c r="D17" s="19" t="inlineStr">
        <is>
          <t>CAD/console_frame/console_frame_v2.step</t>
        </is>
      </c>
      <c r="E17" s="18" t="n">
        <v>1</v>
      </c>
      <c r="F17" s="18">
        <f>E17</f>
        <v/>
      </c>
      <c r="G17" s="19" t="inlineStr">
        <is>
          <t>PLA</t>
        </is>
      </c>
      <c r="H17" s="19" t="inlineStr">
        <is>
          <t>920 x 920 x 784 mm; single solid</t>
        </is>
      </c>
      <c r="I17" s="19" t="inlineStr">
        <is>
          <t>measured from CAD</t>
        </is>
      </c>
      <c r="J17" s="19" t="inlineStr">
        <is>
          <t>One per console (not per hand). Too large to print in one piece - needs splitting; pieces not in this release</t>
        </is>
      </c>
      <c r="K17" s="19" t="n"/>
      <c r="L17" s="19" t="n">
        <v>644</v>
      </c>
      <c r="M17" s="19" t="inlineStr">
        <is>
          <t>Frame, arm supports, and mounts, 1 = ~644 (paper Table II)</t>
        </is>
      </c>
    </row>
    <row r="18" ht="35.05" customHeight="1" s="14">
      <c r="A18" s="18" t="n">
        <v>13</v>
      </c>
      <c r="B18" s="19" t="inlineStr">
        <is>
          <t>Actuator</t>
        </is>
      </c>
      <c r="C18" s="19" t="inlineStr">
        <is>
          <t>MF4005-V2 CAN servo</t>
        </is>
      </c>
      <c r="D18" s="19" t="n"/>
      <c r="E18" s="18" t="n">
        <v>2</v>
      </c>
      <c r="F18" s="18">
        <f>E18*2</f>
        <v/>
      </c>
      <c r="G18" s="19" t="inlineStr">
        <is>
          <t>LKTech / MyActuator</t>
        </is>
      </c>
      <c r="H18" s="19" t="inlineStr">
        <is>
          <t>12 V bus (12.3-12.5 V measured); CAN; multi-turn absolute encoder; torque constant 0.05 N*m/A (25T) / 0.07 N*m/A (40T) per datasheet</t>
        </is>
      </c>
      <c r="I18" s="19" t="inlineStr">
        <is>
          <t>datasheet + measured on the rig</t>
        </is>
      </c>
      <c r="J18" s="19" t="inlineStr">
        <is>
          <t>Command and reply share arbitration ID 0x140+ID - set IDs before assembly. Right wrist: ID 2 and 4. Left wrist: ID 2 and 6.</t>
        </is>
      </c>
      <c r="K18" s="19" t="n"/>
      <c r="L18" s="19" t="n">
        <v>180</v>
      </c>
      <c r="M18" s="19" t="inlineStr">
        <is>
          <t>Direct-drive wrist actuators, 4 = ~720 (paper Table II); 720 / 4</t>
        </is>
      </c>
    </row>
    <row r="19" ht="23.85" customHeight="1" s="14">
      <c r="A19" s="18" t="n">
        <v>14</v>
      </c>
      <c r="B19" s="19" t="inlineStr">
        <is>
          <t>Sensor</t>
        </is>
      </c>
      <c r="C19" s="19" t="inlineStr">
        <is>
          <t>Magnetic rotary encoder (AS5600 class)</t>
        </is>
      </c>
      <c r="D19" s="19" t="n"/>
      <c r="E19" s="18" t="n">
        <v>1</v>
      </c>
      <c r="F19" s="18">
        <f>E19*2</f>
        <v/>
      </c>
      <c r="G19" s="19" t="inlineStr">
        <is>
          <t>ams-OSRAM AS5600 IC on a generic breakout (diametric magnet usually supplied)</t>
        </is>
      </c>
      <c r="H19" s="19" t="inlineStr">
        <is>
          <t>12-bit absolute; 4096 counts per revolution</t>
        </is>
      </c>
      <c r="I19" s="19" t="inlineStr">
        <is>
          <t>firmware/host driver</t>
        </is>
      </c>
      <c r="J19" s="19" t="inlineStr">
        <is>
          <t>Reads the geared lever pair as one grasp angle</t>
        </is>
      </c>
      <c r="K19" s="19" t="n"/>
      <c r="L19" s="19" t="n"/>
      <c r="M19" s="19" t="inlineStr">
        <is>
          <t>Grasp sensors + distal MCUs, 2+2 = 40 (paper Table II)</t>
        </is>
      </c>
    </row>
    <row r="20" ht="23.85" customHeight="1" s="14">
      <c r="A20" s="18" t="n">
        <v>15</v>
      </c>
      <c r="B20" s="19" t="inlineStr">
        <is>
          <t>Controller</t>
        </is>
      </c>
      <c r="C20" s="19" t="inlineStr">
        <is>
          <t>Seeed XIAO nRF52840 Sense</t>
        </is>
      </c>
      <c r="D20" s="19" t="n"/>
      <c r="E20" s="18" t="n">
        <v>1</v>
      </c>
      <c r="F20" s="18">
        <f>E20*2</f>
        <v/>
      </c>
      <c r="G20" s="19" t="inlineStr">
        <is>
          <t>Seeed Studio</t>
        </is>
      </c>
      <c r="H20" s="19" t="inlineStr">
        <is>
          <t>USB 2886:8045; streams grasp angle in degrees over USB CDC</t>
        </is>
      </c>
      <c r="I20" s="19" t="inlineStr">
        <is>
          <t>enumeration log</t>
        </is>
      </c>
      <c r="J20" s="19" t="inlineStr">
        <is>
          <t>Firmware not part of this release</t>
        </is>
      </c>
      <c r="K20" s="19" t="n"/>
      <c r="L20" s="19" t="n"/>
      <c r="M20" s="19" t="inlineStr">
        <is>
          <t>Grasp sensors + distal MCUs, 2+2 = 40 (paper Table II)</t>
        </is>
      </c>
    </row>
    <row r="21" ht="23.85" customHeight="1" s="14">
      <c r="A21" s="18" t="n">
        <v>16</v>
      </c>
      <c r="B21" s="19" t="inlineStr">
        <is>
          <t>Assembly</t>
        </is>
      </c>
      <c r="C21" s="19" t="inlineStr">
        <is>
          <t>Gripper assembled mass</t>
        </is>
      </c>
      <c r="D21" s="19" t="n"/>
      <c r="E21" s="18" t="n">
        <v>1</v>
      </c>
      <c r="F21" s="18" t="n"/>
      <c r="G21" s="19" t="n"/>
      <c r="H21" s="19" t="inlineStr">
        <is>
          <t>207 g</t>
        </is>
      </c>
      <c r="I21" s="19" t="inlineStr">
        <is>
          <t>measured</t>
        </is>
      </c>
      <c r="J21" s="19" t="inlineStr">
        <is>
          <t>URDF inertials were uniformly scaled to this (URDF sum 203.0 g, factor 1.0197)</t>
        </is>
      </c>
      <c r="K21" s="19" t="n"/>
      <c r="L21" s="19" t="n"/>
      <c r="M21" s="19" t="n"/>
    </row>
    <row r="22" ht="15" customHeight="1" s="14">
      <c r="A22" s="21" t="n">
        <v>17</v>
      </c>
      <c r="B22" s="22" t="inlineStr">
        <is>
          <t>Reference only</t>
        </is>
      </c>
      <c r="C22" s="22" t="inlineStr">
        <is>
          <t>AgileX PiPER 6-DOF arm</t>
        </is>
      </c>
      <c r="D22" s="22" t="n"/>
      <c r="E22" s="21" t="n">
        <v>1</v>
      </c>
      <c r="F22" s="21">
        <f>E22*2</f>
        <v/>
      </c>
      <c r="G22" s="22" t="inlineStr">
        <is>
          <t>AgileX</t>
        </is>
      </c>
      <c r="H22" s="22" t="inlineStr">
        <is>
          <t>Leader arm this gripper mounts on</t>
        </is>
      </c>
      <c r="I22" s="22" t="n"/>
      <c r="J22" s="22" t="inlineStr">
        <is>
          <t>Vendor CAD not redistributed here</t>
        </is>
      </c>
      <c r="K22" s="19" t="n"/>
      <c r="L22" s="19" t="n">
        <v>1999</v>
      </c>
      <c r="M22" s="19" t="inlineStr">
        <is>
          <t>PiPER 6-DoF arms, 2 = 3,998 (paper Table II); 3,998 / 2</t>
        </is>
      </c>
    </row>
    <row r="23" ht="15" customHeight="1" s="14">
      <c r="A23" s="21" t="n">
        <v>18</v>
      </c>
      <c r="B23" s="22" t="inlineStr">
        <is>
          <t>Reference only</t>
        </is>
      </c>
      <c r="C23" s="22" t="inlineStr">
        <is>
          <t>Franka FR3</t>
        </is>
      </c>
      <c r="D23" s="22" t="n"/>
      <c r="E23" s="21" t="n">
        <v>1</v>
      </c>
      <c r="F23" s="21">
        <f>E23*2</f>
        <v/>
      </c>
      <c r="G23" s="22" t="inlineStr">
        <is>
          <t>Franka Robotics</t>
        </is>
      </c>
      <c r="H23" s="22" t="inlineStr">
        <is>
          <t>Patient-side platform</t>
        </is>
      </c>
      <c r="I23" s="22" t="n"/>
      <c r="J23" s="22" t="inlineStr">
        <is>
          <t>Not part of the leader design</t>
        </is>
      </c>
      <c r="K23" s="19" t="n"/>
      <c r="L23" s="19" t="n"/>
      <c r="M23" s="19" t="n"/>
    </row>
    <row r="24" ht="23.85" customHeight="1" s="14">
      <c r="A24" s="21" t="n">
        <v>19</v>
      </c>
      <c r="B24" s="22" t="inlineStr">
        <is>
          <t>Reference only</t>
        </is>
      </c>
      <c r="C24" s="22" t="inlineStr">
        <is>
          <t>Feetech STS3215 bus servo</t>
        </is>
      </c>
      <c r="D24" s="22" t="n"/>
      <c r="E24" s="21" t="n">
        <v>5</v>
      </c>
      <c r="F24" s="21">
        <f>E24*2</f>
        <v/>
      </c>
      <c r="G24" s="22" t="inlineStr">
        <is>
          <t>Feetech / Waveshare</t>
        </is>
      </c>
      <c r="H24" s="22" t="inlineStr">
        <is>
          <t>1 Mbaud TTL bus; approx. 30 kgf*cm at 12 V; 1:345 gearbox</t>
        </is>
      </c>
      <c r="I24" s="22" t="inlineStr">
        <is>
          <t>vendor spec + bring-up log</t>
        </is>
      </c>
      <c r="J24" s="22" t="inlineStr">
        <is>
          <t>Used in the patient-side EndoWrist instrument, not in the leader gripper</t>
        </is>
      </c>
      <c r="K24" s="19" t="n"/>
      <c r="L24" s="19" t="n"/>
      <c r="M24" s="19" t="n"/>
    </row>
    <row r="25" s="14"/>
    <row r="26" ht="15" customHeight="1" s="14">
      <c r="A26" s="23" t="n"/>
      <c r="B26" s="23" t="n"/>
      <c r="C26" s="23" t="inlineStr">
        <is>
          <t>Printed parts per hand</t>
        </is>
      </c>
      <c r="D26" s="23" t="n"/>
      <c r="E26" s="24">
        <f>SUMIFS(E6:E24,B6:B24,"Printed part")</f>
        <v/>
      </c>
      <c r="F26" s="24">
        <f>E26*2</f>
        <v/>
      </c>
      <c r="G26" s="23" t="n"/>
      <c r="H26" s="23" t="n"/>
      <c r="I26" s="23" t="n"/>
      <c r="J26" s="23" t="inlineStr">
        <is>
          <t>count of rows in the Printed part category</t>
        </is>
      </c>
    </row>
    <row r="27" ht="23.85" customHeight="1" s="14">
      <c r="A27" s="19" t="n"/>
      <c r="B27" s="19" t="n"/>
      <c r="C27" s="19" t="inlineStr">
        <is>
          <t>Assembled gripper mass</t>
        </is>
      </c>
      <c r="D27" s="19" t="n"/>
      <c r="E27" s="18" t="n">
        <v>207</v>
      </c>
      <c r="F27" s="18" t="n"/>
      <c r="G27" s="19" t="inlineStr">
        <is>
          <t>g</t>
        </is>
      </c>
      <c r="H27" s="19" t="n"/>
      <c r="I27" s="19" t="inlineStr">
        <is>
          <t>measured</t>
        </is>
      </c>
      <c r="J27" s="19" t="inlineStr">
        <is>
          <t>URDF inertials uniformly scaled to this (URDF sum 203.0 g, factor 1.0197)</t>
        </is>
      </c>
    </row>
    <row r="28" ht="23.85" customHeight="1" s="14">
      <c r="C28" s="19" t="inlineStr">
        <is>
          <t>Printed filament per console (g, est.)</t>
        </is>
      </c>
      <c r="E28" s="18">
        <f>SUMPRODUCT(K6:K24,F6:F24)</f>
        <v/>
      </c>
      <c r="J28" s="19" t="inlineStr">
        <is>
          <t>right + left sets; STL volume/area estimate calibrated on the real print record gripper1,2 sensor base.gcode.3mf (P2S, 0.20 mm, 2 walls, 15 % infill, PLA) - not a slicer result</t>
        </is>
      </c>
    </row>
    <row r="29" s="14"/>
    <row r="30" s="14">
      <c r="C30" s="25" t="inlineStr">
        <is>
          <t>Console hardware cost (USD), as in the paper, Table II</t>
        </is>
      </c>
    </row>
    <row r="31">
      <c r="C31" s="17" t="inlineStr">
        <is>
          <t>Item</t>
        </is>
      </c>
      <c r="E31" s="17" t="inlineStr">
        <is>
          <t>Qty.</t>
        </is>
      </c>
      <c r="F31" s="17" t="inlineStr">
        <is>
          <t>Cost (USD)</t>
        </is>
      </c>
      <c r="G31" s="17" t="inlineStr">
        <is>
          <t>Note</t>
        </is>
      </c>
    </row>
    <row r="32">
      <c r="C32" s="19" t="inlineStr">
        <is>
          <t>PiPER 6-DoF arms</t>
        </is>
      </c>
      <c r="E32" s="18" t="n">
        <v>2</v>
      </c>
      <c r="F32" s="26" t="n">
        <v>3998</v>
      </c>
      <c r="G32" s="19" t="inlineStr"/>
    </row>
    <row r="33">
      <c r="C33" s="19" t="inlineStr">
        <is>
          <t>Direct-drive wrist actuators</t>
        </is>
      </c>
      <c r="E33" s="18" t="n">
        <v>4</v>
      </c>
      <c r="F33" s="26" t="n">
        <v>720</v>
      </c>
      <c r="G33" s="19" t="inlineStr">
        <is>
          <t>approximate</t>
        </is>
      </c>
    </row>
    <row r="34">
      <c r="C34" s="19" t="inlineStr">
        <is>
          <t>Grasp sensors + distal MCUs</t>
        </is>
      </c>
      <c r="E34" s="18" t="inlineStr">
        <is>
          <t>2+2</t>
        </is>
      </c>
      <c r="F34" s="26" t="n">
        <v>40</v>
      </c>
      <c r="G34" s="19" t="inlineStr"/>
    </row>
    <row r="35">
      <c r="C35" s="19" t="inlineStr">
        <is>
          <t>Printed distal parts / fasteners</t>
        </is>
      </c>
      <c r="E35" s="18" t="inlineStr">
        <is>
          <t>-</t>
        </is>
      </c>
      <c r="F35" s="26" t="n">
        <v>60</v>
      </c>
      <c r="G35" s="19" t="inlineStr">
        <is>
          <t>approximate</t>
        </is>
      </c>
    </row>
    <row r="36">
      <c r="C36" s="19" t="inlineStr">
        <is>
          <t>Foot pedals</t>
        </is>
      </c>
      <c r="E36" s="18" t="n">
        <v>2</v>
      </c>
      <c r="F36" s="26" t="n">
        <v>40</v>
      </c>
      <c r="G36" s="19" t="inlineStr">
        <is>
          <t>approximate</t>
        </is>
      </c>
    </row>
    <row r="37">
      <c r="C37" s="19" t="inlineStr">
        <is>
          <t>Frame, arm supports, and mounts</t>
        </is>
      </c>
      <c r="E37" s="18" t="n">
        <v>1</v>
      </c>
      <c r="F37" s="26" t="n">
        <v>644</v>
      </c>
      <c r="G37" s="19" t="inlineStr">
        <is>
          <t>approximate</t>
        </is>
      </c>
    </row>
    <row r="38">
      <c r="C38" s="27" t="inlineStr">
        <is>
          <t>Proposed console total</t>
        </is>
      </c>
      <c r="E38" s="28" t="n"/>
      <c r="F38" s="29">
        <f>SUM(F32:F37)</f>
        <v/>
      </c>
      <c r="G38" s="27" t="inlineStr">
        <is>
          <t>paper: ~5,502</t>
        </is>
      </c>
    </row>
    <row r="39">
      <c r="C39" s="19" t="inlineStr">
        <is>
          <t>Excludes display, workstation, labor and patient side (as in the paper). Foot pedals and arm supports are not itemised in this BOM.</t>
        </is>
      </c>
    </row>
  </sheetData>
  <autoFilter ref="A5:M2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46" customWidth="1" style="13" min="2" max="2"/>
    <col width="24" customWidth="1" style="13" min="3" max="3"/>
    <col width="52" customWidth="1" style="13" min="4" max="4"/>
    <col width="26" customWidth="1" style="13" min="5" max="5"/>
  </cols>
  <sheetData>
    <row r="1" ht="17.35" customHeight="1" s="14">
      <c r="A1" s="15" t="inlineStr">
        <is>
          <t>Actuator and sensor specifications</t>
        </is>
      </c>
    </row>
    <row r="2" ht="15" customHeight="1" s="14">
      <c r="A2" s="16" t="inlineStr">
        <is>
          <t>'measured' = read off the running rig.  'datasheet'/'vendor' = published by the maker.</t>
        </is>
      </c>
    </row>
    <row r="4" ht="15" customHeight="1" s="14">
      <c r="A4" s="30" t="inlineStr">
        <is>
          <t>Device</t>
        </is>
      </c>
      <c r="B4" s="30" t="inlineStr">
        <is>
          <t>Role</t>
        </is>
      </c>
      <c r="C4" s="30" t="inlineStr">
        <is>
          <t>Parameter</t>
        </is>
      </c>
      <c r="D4" s="30" t="inlineStr">
        <is>
          <t>Value</t>
        </is>
      </c>
      <c r="E4" s="30" t="inlineStr">
        <is>
          <t>Source</t>
        </is>
      </c>
    </row>
    <row r="5" ht="15" customHeight="1" s="14">
      <c r="A5" s="19" t="inlineStr">
        <is>
          <t>MF4005-V2</t>
        </is>
      </c>
      <c r="B5" s="19" t="inlineStr">
        <is>
          <t>Wrist axes 1 and 2 (2 per hand)</t>
        </is>
      </c>
      <c r="C5" s="19" t="inlineStr">
        <is>
          <t>Bus</t>
        </is>
      </c>
      <c r="D5" s="19" t="inlineStr">
        <is>
          <t>CAN</t>
        </is>
      </c>
      <c r="E5" s="19" t="inlineStr">
        <is>
          <t>design</t>
        </is>
      </c>
    </row>
    <row r="6" ht="15" customHeight="1" s="14">
      <c r="A6" s="19" t="inlineStr">
        <is>
          <t>MF4005-V2</t>
        </is>
      </c>
      <c r="B6" s="19" t="n"/>
      <c r="C6" s="19" t="inlineStr">
        <is>
          <t>Arbitration ID</t>
        </is>
      </c>
      <c r="D6" s="19" t="inlineStr">
        <is>
          <t>0x140 + motor ID (command and reply share it)</t>
        </is>
      </c>
      <c r="E6" s="19" t="inlineStr">
        <is>
          <t>bring-up log</t>
        </is>
      </c>
    </row>
    <row r="7" ht="15" customHeight="1" s="14">
      <c r="A7" s="19" t="inlineStr">
        <is>
          <t>MF4005-V2</t>
        </is>
      </c>
      <c r="B7" s="19" t="n"/>
      <c r="C7" s="19" t="inlineStr">
        <is>
          <t>Motor IDs in use</t>
        </is>
      </c>
      <c r="D7" s="19" t="inlineStr">
        <is>
          <t>Right wrist 2 and 4; left wrist 2 and 6</t>
        </is>
      </c>
      <c r="E7" s="19" t="inlineStr">
        <is>
          <t>bring-up log</t>
        </is>
      </c>
    </row>
    <row r="8" ht="15" customHeight="1" s="14">
      <c r="A8" s="19" t="inlineStr">
        <is>
          <t>MF4005-V2</t>
        </is>
      </c>
      <c r="B8" s="19" t="n"/>
      <c r="C8" s="19" t="inlineStr">
        <is>
          <t>Supply voltage</t>
        </is>
      </c>
      <c r="D8" s="19" t="inlineStr">
        <is>
          <t>12.3 - 12.5 V under load</t>
        </is>
      </c>
      <c r="E8" s="19" t="inlineStr">
        <is>
          <t>measured</t>
        </is>
      </c>
    </row>
    <row r="9" ht="15" customHeight="1" s="14">
      <c r="A9" s="19" t="inlineStr">
        <is>
          <t>MF4005-V2</t>
        </is>
      </c>
      <c r="B9" s="19" t="n"/>
      <c r="C9" s="19" t="inlineStr">
        <is>
          <t>Torque constant (datasheet)</t>
        </is>
      </c>
      <c r="D9" s="19" t="inlineStr">
        <is>
          <t>0.05 N*m/A (25T) / 0.07 N*m/A (40T)</t>
        </is>
      </c>
      <c r="E9" s="19" t="inlineStr">
        <is>
          <t>datasheet</t>
        </is>
      </c>
    </row>
    <row r="10" ht="15" customHeight="1" s="14">
      <c r="A10" s="19" t="inlineStr">
        <is>
          <t>MF4005-V2</t>
        </is>
      </c>
      <c r="B10" s="19" t="n"/>
      <c r="C10" s="19" t="inlineStr">
        <is>
          <t>Torque constant (measured)</t>
        </is>
      </c>
      <c r="D10" s="19" t="inlineStr">
        <is>
          <t>0.0613 N*m/A - between the two datasheet variants</t>
        </is>
      </c>
      <c r="E10" s="19" t="inlineStr">
        <is>
          <t>measured</t>
        </is>
      </c>
    </row>
    <row r="11" ht="15" customHeight="1" s="14">
      <c r="A11" s="19" t="inlineStr">
        <is>
          <t>MF4005-V2</t>
        </is>
      </c>
      <c r="B11" s="19" t="n"/>
      <c r="C11" s="19" t="inlineStr">
        <is>
          <t>Encoder</t>
        </is>
      </c>
      <c r="D11" s="19" t="inlineStr">
        <is>
          <t>multi-turn absolute</t>
        </is>
      </c>
      <c r="E11" s="19" t="inlineStr">
        <is>
          <t>datasheet</t>
        </is>
      </c>
    </row>
    <row r="12" ht="15" customHeight="1" s="14">
      <c r="A12" s="19" t="inlineStr">
        <is>
          <t>MF4005-V2</t>
        </is>
      </c>
      <c r="B12" s="19" t="n"/>
      <c r="C12" s="19" t="inlineStr">
        <is>
          <t>Case temperature in use</t>
        </is>
      </c>
      <c r="D12" s="19" t="inlineStr">
        <is>
          <t>36 - 37 C</t>
        </is>
      </c>
      <c r="E12" s="19" t="inlineStr">
        <is>
          <t>measured</t>
        </is>
      </c>
    </row>
    <row r="13" ht="15" customHeight="1" s="14">
      <c r="A13" s="19" t="inlineStr">
        <is>
          <t>MF4005-V2</t>
        </is>
      </c>
      <c r="B13" s="19" t="n"/>
      <c r="C13" s="19" t="inlineStr">
        <is>
          <t>Winding temperature</t>
        </is>
      </c>
      <c r="D13" s="19" t="inlineStr">
        <is>
          <t>not measured - the reported value is case temperature</t>
        </is>
      </c>
      <c r="E13" s="19" t="inlineStr">
        <is>
          <t>measured</t>
        </is>
      </c>
    </row>
    <row r="14" ht="23.85" customHeight="1" s="14">
      <c r="A14" s="19" t="inlineStr">
        <is>
          <t>Magnetic rotary encoder (AS5600 class)</t>
        </is>
      </c>
      <c r="B14" s="19" t="inlineStr">
        <is>
          <t>Grasp angle (1 per hand) - hand-driven, no actuator on this axis</t>
        </is>
      </c>
      <c r="C14" s="19" t="inlineStr">
        <is>
          <t>Resolution</t>
        </is>
      </c>
      <c r="D14" s="19" t="inlineStr">
        <is>
          <t>12-bit, 4096 counts per revolution</t>
        </is>
      </c>
      <c r="E14" s="19" t="inlineStr">
        <is>
          <t>host driver</t>
        </is>
      </c>
    </row>
    <row r="15" ht="15" customHeight="1" s="14">
      <c r="A15" s="19" t="inlineStr">
        <is>
          <t>Magnetic rotary encoder (AS5600 class)</t>
        </is>
      </c>
      <c r="B15" s="19" t="n"/>
      <c r="C15" s="19" t="inlineStr">
        <is>
          <t>Output</t>
        </is>
      </c>
      <c r="D15" s="19" t="inlineStr">
        <is>
          <t>angle in degrees, already converted on the board</t>
        </is>
      </c>
      <c r="E15" s="19" t="inlineStr">
        <is>
          <t>host driver</t>
        </is>
      </c>
    </row>
    <row r="16" ht="15" customHeight="1" s="14">
      <c r="A16" s="19" t="inlineStr">
        <is>
          <t>Magnetic rotary encoder (AS5600 class)</t>
        </is>
      </c>
      <c r="B16" s="19" t="n"/>
      <c r="C16" s="19" t="inlineStr">
        <is>
          <t>Update rate</t>
        </is>
      </c>
      <c r="D16" s="19" t="inlineStr">
        <is>
          <t>approx. 167 Hz</t>
        </is>
      </c>
      <c r="E16" s="19" t="inlineStr">
        <is>
          <t>host driver</t>
        </is>
      </c>
    </row>
    <row r="17" ht="15" customHeight="1" s="14">
      <c r="A17" s="19" t="inlineStr">
        <is>
          <t>Magnetic rotary encoder (AS5600 class)</t>
        </is>
      </c>
      <c r="B17" s="19" t="n"/>
      <c r="C17" s="19" t="inlineStr">
        <is>
          <t>Normalised output</t>
        </is>
      </c>
      <c r="D17" s="19" t="inlineStr">
        <is>
          <t>0.0 = fully open, 1.0 = fully closed</t>
        </is>
      </c>
      <c r="E17" s="19" t="inlineStr">
        <is>
          <t>host driver</t>
        </is>
      </c>
    </row>
    <row r="18" ht="23.85" customHeight="1" s="14">
      <c r="A18" s="19" t="inlineStr">
        <is>
          <t>Magnetic rotary encoder (AS5600 class)</t>
        </is>
      </c>
      <c r="B18" s="19" t="n"/>
      <c r="C18" s="19" t="inlineStr">
        <is>
          <t>Wrap behaviour</t>
        </is>
      </c>
      <c r="D18" s="19" t="inlineStr">
        <is>
          <t>reading wraps at 0/360 deg and is unwrapped on the host - keep the lever travel off the seam</t>
        </is>
      </c>
      <c r="E18" s="19" t="inlineStr">
        <is>
          <t>host driver</t>
        </is>
      </c>
    </row>
    <row r="19" ht="23.85" customHeight="1" s="14">
      <c r="A19" s="19" t="inlineStr">
        <is>
          <t>Magnetic rotary encoder (AS5600 class)</t>
        </is>
      </c>
      <c r="B19" s="19" t="n"/>
      <c r="C19" s="19" t="inlineStr">
        <is>
          <t>Open/closed endpoints</t>
        </is>
      </c>
      <c r="D19" s="19" t="inlineStr">
        <is>
          <t>per unit, set by calibration - not a design constant. Measured travel is roughly 20-30 deg depending on the unit</t>
        </is>
      </c>
      <c r="E19" s="19" t="inlineStr">
        <is>
          <t>measured</t>
        </is>
      </c>
    </row>
    <row r="20" ht="15" customHeight="1" s="14">
      <c r="A20" s="19" t="inlineStr">
        <is>
          <t>Magnetic rotary encoder (AS5600 class)</t>
        </is>
      </c>
      <c r="B20" s="19" t="n"/>
      <c r="C20" s="19" t="inlineStr">
        <is>
          <t>Exact part number</t>
        </is>
      </c>
      <c r="D20" s="19" t="inlineStr">
        <is>
          <t>ams-OSRAM AS5600 (IC). The breakout-board vendor used in the build is not recorded</t>
        </is>
      </c>
      <c r="E20" s="19" t="inlineStr">
        <is>
          <t>ams-OSRAM product page</t>
        </is>
      </c>
    </row>
    <row r="21" ht="15" customHeight="1" s="14">
      <c r="A21" s="19" t="inlineStr">
        <is>
          <t>Seeed XIAO nRF52840 Sense</t>
        </is>
      </c>
      <c r="B21" s="19" t="inlineStr">
        <is>
          <t>Sensor front end (1 per hand)</t>
        </is>
      </c>
      <c r="C21" s="19" t="inlineStr">
        <is>
          <t>USB ID</t>
        </is>
      </c>
      <c r="D21" s="19" t="inlineStr">
        <is>
          <t>2886:8045</t>
        </is>
      </c>
      <c r="E21" s="19" t="inlineStr">
        <is>
          <t>enumeration log</t>
        </is>
      </c>
    </row>
    <row r="22" ht="15" customHeight="1" s="14">
      <c r="A22" s="19" t="inlineStr">
        <is>
          <t>Seeed XIAO nRF52840 Sense</t>
        </is>
      </c>
      <c r="B22" s="19" t="n"/>
      <c r="C22" s="19" t="inlineStr">
        <is>
          <t>Host interface</t>
        </is>
      </c>
      <c r="D22" s="19" t="inlineStr">
        <is>
          <t>USB CDC serial</t>
        </is>
      </c>
      <c r="E22" s="19" t="inlineStr">
        <is>
          <t>design</t>
        </is>
      </c>
    </row>
    <row r="23" ht="15" customHeight="1" s="14">
      <c r="A23" s="19" t="inlineStr">
        <is>
          <t>Seeed XIAO nRF52840 Sense</t>
        </is>
      </c>
      <c r="B23" s="19" t="n"/>
      <c r="C23" s="19" t="inlineStr">
        <is>
          <t>Firmware</t>
        </is>
      </c>
      <c r="D23" s="19" t="inlineStr">
        <is>
          <t>not included in this release</t>
        </is>
      </c>
      <c r="E23" s="19" t="inlineStr">
        <is>
          <t>-</t>
        </is>
      </c>
    </row>
    <row r="24" ht="23.85" customHeight="1" s="14">
      <c r="A24" s="19" t="inlineStr">
        <is>
          <t>Feetech STS3215</t>
        </is>
      </c>
      <c r="B24" s="19" t="inlineStr">
        <is>
          <t>Patient-side EndoWrist instrument (reference only - not in the leader gripper)</t>
        </is>
      </c>
      <c r="C24" s="19" t="inlineStr">
        <is>
          <t>Bus</t>
        </is>
      </c>
      <c r="D24" s="19" t="inlineStr">
        <is>
          <t>TTL serial, 1,000,000 bps (factory default)</t>
        </is>
      </c>
      <c r="E24" s="19" t="inlineStr">
        <is>
          <t>vendor + bring-up log</t>
        </is>
      </c>
    </row>
    <row r="25" ht="15" customHeight="1" s="14">
      <c r="A25" s="19" t="inlineStr">
        <is>
          <t>Feetech STS3215</t>
        </is>
      </c>
      <c r="B25" s="19" t="n"/>
      <c r="C25" s="19" t="inlineStr">
        <is>
          <t>Output torque</t>
        </is>
      </c>
      <c r="D25" s="19" t="inlineStr">
        <is>
          <t>approx. 30 kgf*cm at 12 V, through the 1:345 gearbox</t>
        </is>
      </c>
      <c r="E25" s="19" t="inlineStr">
        <is>
          <t>vendor</t>
        </is>
      </c>
    </row>
    <row r="26" ht="15" customHeight="1" s="14">
      <c r="A26" s="19" t="inlineStr">
        <is>
          <t>Feetech STS3215</t>
        </is>
      </c>
      <c r="B26" s="19" t="n"/>
      <c r="C26" s="19" t="inlineStr">
        <is>
          <t>Gear ratio</t>
        </is>
      </c>
      <c r="D26" s="19" t="inlineStr">
        <is>
          <t>1:345</t>
        </is>
      </c>
      <c r="E26" s="19" t="inlineStr">
        <is>
          <t>vendor</t>
        </is>
      </c>
    </row>
    <row r="27" ht="35.05" customHeight="1" s="14">
      <c r="A27" s="19" t="inlineStr">
        <is>
          <t>Feetech STS3215</t>
        </is>
      </c>
      <c r="B27" s="19" t="n"/>
      <c r="C27" s="19" t="inlineStr">
        <is>
          <t>Count in instrument</t>
        </is>
      </c>
      <c r="D27" s="19" t="inlineStr">
        <is>
          <t>5 servos pulling 5 wires, driving pitch, yaw and jaw (an earlier roadmap specified 4 servos for 4 axes - the as-built instrument uses 5)</t>
        </is>
      </c>
      <c r="E27" s="19" t="inlineStr">
        <is>
          <t>as-built doc</t>
        </is>
      </c>
    </row>
    <row r="28" s="1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2026-09-15T08:48:37Z</dcterms:created>
  <dcterms:modified xsi:type="dcterms:W3CDTF">2026-09-15T11:28:56Z</dcterms:modified>
  <cp:revision>0</cp:revision>
</cp:coreProperties>
</file>